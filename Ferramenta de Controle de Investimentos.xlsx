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e\OneDrive\Desktop\Vito\Work\Excel\Practice\Excel Course\Curso de Excel IA\Ferramenta de Controle de Investimentos\"/>
    </mc:Choice>
  </mc:AlternateContent>
  <xr:revisionPtr revIDLastSave="0" documentId="13_ncr:1_{09300115-733A-4227-B74B-C299CCB636D5}" xr6:coauthVersionLast="47" xr6:coauthVersionMax="47" xr10:uidLastSave="{00000000-0000-0000-0000-000000000000}"/>
  <bookViews>
    <workbookView xWindow="-108" yWindow="-108" windowWidth="23256" windowHeight="12456" tabRatio="427" xr2:uid="{482683FE-711F-4C40-831B-8DDBBE7818F4}"/>
  </bookViews>
  <sheets>
    <sheet name="Investimentos Matiz" sheetId="1" r:id="rId1"/>
    <sheet name="Tabela de Apoio" sheetId="3" r:id="rId2"/>
    <sheet name="Q&amp;A" sheetId="2" r:id="rId3"/>
  </sheets>
  <definedNames>
    <definedName name="Aport">'Investimentos Matiz'!$D$20</definedName>
    <definedName name="Patrimônio">'Investimentos Matiz'!$D$23</definedName>
    <definedName name="Quantidade_Anos">'Investimentos Matiz'!$D$21</definedName>
    <definedName name="Rendimento_Carteira">'Investimentos Matiz'!$D$16</definedName>
    <definedName name="Salário">'Investimentos Matiz'!$D$15</definedName>
    <definedName name="Sugestão_de_Investimento">'Investimentos Matiz'!$D$17</definedName>
    <definedName name="Taxa_Mensal">'Investimentos Matiz'!$D$22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/>
  <c r="A6" i="3"/>
  <c r="C39" i="1" s="1"/>
  <c r="A7" i="3"/>
  <c r="C41" i="1" s="1"/>
  <c r="A8" i="3"/>
  <c r="C42" i="1" s="1"/>
  <c r="A9" i="3"/>
  <c r="A10" i="3"/>
  <c r="A11" i="3"/>
  <c r="A12" i="3"/>
  <c r="A13" i="3"/>
  <c r="A14" i="3"/>
  <c r="A15" i="3"/>
  <c r="A16" i="3"/>
  <c r="A17" i="3"/>
  <c r="A18" i="3"/>
  <c r="A19" i="3"/>
  <c r="A20" i="3"/>
  <c r="A3" i="3"/>
  <c r="C36" i="1"/>
  <c r="C28" i="1"/>
  <c r="D28" i="1" s="1"/>
  <c r="C29" i="1"/>
  <c r="D29" i="1" s="1"/>
  <c r="C30" i="1"/>
  <c r="D30" i="1" s="1"/>
  <c r="C31" i="1"/>
  <c r="D31" i="1" s="1"/>
  <c r="C27" i="1"/>
  <c r="D27" i="1" s="1"/>
  <c r="D23" i="1"/>
  <c r="D24" i="1" s="1"/>
  <c r="D17" i="1"/>
  <c r="C40" i="1" l="1"/>
  <c r="D40" i="1" s="1"/>
  <c r="C43" i="1"/>
  <c r="D43" i="1" s="1"/>
  <c r="C44" i="1"/>
  <c r="D44" i="1" s="1"/>
  <c r="H4" i="3"/>
  <c r="D42" i="1"/>
  <c r="D39" i="1"/>
  <c r="D41" i="1"/>
  <c r="D45" i="1" l="1"/>
</calcChain>
</file>

<file path=xl/sharedStrings.xml><?xml version="1.0" encoding="utf-8"?>
<sst xmlns="http://schemas.openxmlformats.org/spreadsheetml/2006/main" count="78" uniqueCount="42">
  <si>
    <t>Quanto investir por mês?</t>
  </si>
  <si>
    <t>Qual taxa de rendimento mensal?</t>
  </si>
  <si>
    <t>Quanto de patrimônio acumulado?</t>
  </si>
  <si>
    <t>Quanto é os dividendos mensais?</t>
  </si>
  <si>
    <t>Investimento Mensal</t>
  </si>
  <si>
    <t>Por quantos anos?</t>
  </si>
  <si>
    <t>Cenários</t>
  </si>
  <si>
    <t>Dividendo</t>
  </si>
  <si>
    <t>Fórmulas</t>
  </si>
  <si>
    <t>Fórmula</t>
  </si>
  <si>
    <t>Funcionalidade</t>
  </si>
  <si>
    <t>vf()</t>
  </si>
  <si>
    <t>Chamada de "Valor Futuro", que é utilizada para calcular o valor final de um investimento ou empréstimo com base em uma taxa de juros fixa e pagamentos constantes ao longo do tempo.</t>
  </si>
  <si>
    <t>Configurações</t>
  </si>
  <si>
    <t>Rendimento Carteira</t>
  </si>
  <si>
    <t>Salário</t>
  </si>
  <si>
    <t>Sugestão de Investimento</t>
  </si>
  <si>
    <t>Quanto em 2 anos?</t>
  </si>
  <si>
    <t>Quanto em 5 anos?</t>
  </si>
  <si>
    <t>Quanto em 10 anos?</t>
  </si>
  <si>
    <t>Quanto em 20 anos?</t>
  </si>
  <si>
    <t>Quantos em 30 anos?</t>
  </si>
  <si>
    <t>Valor a ser Investido Por Mês</t>
  </si>
  <si>
    <t>PERFIL</t>
  </si>
  <si>
    <t>Tipo de FII</t>
  </si>
  <si>
    <t xml:space="preserve">Pencentual Sugerido </t>
  </si>
  <si>
    <t>Valores</t>
  </si>
  <si>
    <t>PAPEL</t>
  </si>
  <si>
    <t>TIJOLO</t>
  </si>
  <si>
    <t>HÍBRIDOS</t>
  </si>
  <si>
    <t>DESENVOLVIMENTO</t>
  </si>
  <si>
    <t>HOTELARIAS</t>
  </si>
  <si>
    <t>FOFs</t>
  </si>
  <si>
    <t>TIPO DE FII</t>
  </si>
  <si>
    <t>CHAVE</t>
  </si>
  <si>
    <t>Agressivo</t>
  </si>
  <si>
    <t>Moderado</t>
  </si>
  <si>
    <t>Conservador</t>
  </si>
  <si>
    <t>%</t>
  </si>
  <si>
    <t>Moderado-TIJOLO</t>
  </si>
  <si>
    <t>TOTAL</t>
  </si>
  <si>
    <r>
      <t xml:space="preserve">Esta planilha representa um </t>
    </r>
    <r>
      <rPr>
        <b/>
        <sz val="11"/>
        <color theme="1"/>
        <rFont val="Aptos Narrow"/>
        <family val="2"/>
        <scheme val="minor"/>
      </rPr>
      <t>Simulador Financeiro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</si>
</sst>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R$-416]\ #,##0.00;\-[$R$-416]\ #,##0.00"/>
    <numFmt numFmtId="165" formatCode="&quot;R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0"/>
      <name val="Segoe UI"/>
      <family val="2"/>
    </font>
    <font>
      <b/>
      <sz val="16"/>
      <color theme="0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family val="2"/>
    </font>
    <font>
      <sz val="12"/>
      <color theme="1"/>
      <name val="Segoe UI"/>
      <family val="2"/>
    </font>
    <font>
      <b/>
      <sz val="13"/>
      <color theme="1"/>
      <name val="Segoe UI"/>
      <family val="2"/>
    </font>
    <font>
      <b/>
      <sz val="14"/>
      <color theme="0"/>
      <name val="Segoe UI"/>
      <family val="2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Segoe UI"/>
      <family val="2"/>
    </font>
    <font>
      <b/>
      <sz val="11"/>
      <color theme="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theme="1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1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1"/>
      </right>
      <top style="medium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theme="1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1"/>
      </right>
      <top/>
      <bottom style="medium">
        <color theme="2" tint="-9.9948118533890809E-2"/>
      </bottom>
      <diagonal/>
    </border>
    <border>
      <left style="medium">
        <color theme="1"/>
      </left>
      <right style="medium">
        <color theme="2" tint="-9.9948118533890809E-2"/>
      </right>
      <top style="medium">
        <color theme="2" tint="-9.9948118533890809E-2"/>
      </top>
      <bottom style="medium">
        <color theme="1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1"/>
      </bottom>
      <diagonal/>
    </border>
    <border>
      <left style="medium">
        <color theme="2" tint="-9.9948118533890809E-2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2" tint="-9.9948118533890809E-2"/>
      </right>
      <top style="medium">
        <color theme="1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1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1"/>
      </right>
      <top style="medium">
        <color theme="1"/>
      </top>
      <bottom style="medium">
        <color theme="2" tint="-9.9948118533890809E-2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3" fillId="8" borderId="0" applyNumberFormat="0" applyBorder="0" applyAlignment="0" applyProtection="0"/>
    <xf numFmtId="44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wrapText="1"/>
    </xf>
    <xf numFmtId="0" fontId="4" fillId="3" borderId="0" xfId="0" applyFont="1" applyFill="1" applyAlignment="1">
      <alignment vertical="center"/>
    </xf>
    <xf numFmtId="0" fontId="7" fillId="6" borderId="20" xfId="0" applyFont="1" applyFill="1" applyBorder="1" applyAlignment="1">
      <alignment vertical="center"/>
    </xf>
    <xf numFmtId="164" fontId="9" fillId="0" borderId="23" xfId="0" applyNumberFormat="1" applyFont="1" applyBorder="1" applyAlignment="1">
      <alignment horizontal="center"/>
    </xf>
    <xf numFmtId="10" fontId="9" fillId="0" borderId="10" xfId="1" applyNumberFormat="1" applyFont="1" applyBorder="1" applyAlignment="1">
      <alignment horizontal="center"/>
    </xf>
    <xf numFmtId="164" fontId="11" fillId="0" borderId="23" xfId="1" applyNumberFormat="1" applyFont="1" applyBorder="1" applyAlignment="1">
      <alignment horizontal="center"/>
    </xf>
    <xf numFmtId="1" fontId="11" fillId="0" borderId="10" xfId="1" applyNumberFormat="1" applyFont="1" applyBorder="1" applyAlignment="1">
      <alignment horizontal="center"/>
    </xf>
    <xf numFmtId="10" fontId="11" fillId="0" borderId="10" xfId="1" applyNumberFormat="1" applyFont="1" applyBorder="1" applyAlignment="1">
      <alignment horizontal="center"/>
    </xf>
    <xf numFmtId="164" fontId="11" fillId="2" borderId="10" xfId="1" applyNumberFormat="1" applyFont="1" applyFill="1" applyBorder="1" applyAlignment="1">
      <alignment horizontal="center"/>
    </xf>
    <xf numFmtId="164" fontId="11" fillId="2" borderId="11" xfId="1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left" indent="1"/>
    </xf>
    <xf numFmtId="164" fontId="9" fillId="2" borderId="5" xfId="0" applyNumberFormat="1" applyFont="1" applyFill="1" applyBorder="1" applyAlignment="1">
      <alignment horizontal="center"/>
    </xf>
    <xf numFmtId="164" fontId="9" fillId="2" borderId="9" xfId="0" applyNumberFormat="1" applyFont="1" applyFill="1" applyBorder="1" applyAlignment="1">
      <alignment horizontal="center"/>
    </xf>
    <xf numFmtId="0" fontId="10" fillId="2" borderId="13" xfId="0" applyFont="1" applyFill="1" applyBorder="1" applyAlignment="1">
      <alignment horizontal="left" indent="1"/>
    </xf>
    <xf numFmtId="164" fontId="9" fillId="2" borderId="4" xfId="0" applyNumberFormat="1" applyFont="1" applyFill="1" applyBorder="1" applyAlignment="1">
      <alignment horizontal="center"/>
    </xf>
    <xf numFmtId="164" fontId="9" fillId="2" borderId="14" xfId="0" applyNumberFormat="1" applyFont="1" applyFill="1" applyBorder="1" applyAlignment="1">
      <alignment horizontal="center"/>
    </xf>
    <xf numFmtId="0" fontId="10" fillId="2" borderId="15" xfId="0" applyFont="1" applyFill="1" applyBorder="1" applyAlignment="1">
      <alignment horizontal="left" indent="1"/>
    </xf>
    <xf numFmtId="164" fontId="9" fillId="2" borderId="16" xfId="0" applyNumberFormat="1" applyFont="1" applyFill="1" applyBorder="1" applyAlignment="1">
      <alignment horizontal="center"/>
    </xf>
    <xf numFmtId="164" fontId="9" fillId="2" borderId="17" xfId="0" applyNumberFormat="1" applyFont="1" applyFill="1" applyBorder="1" applyAlignment="1">
      <alignment horizontal="center"/>
    </xf>
    <xf numFmtId="164" fontId="9" fillId="2" borderId="11" xfId="0" applyNumberFormat="1" applyFont="1" applyFill="1" applyBorder="1" applyAlignment="1">
      <alignment horizontal="center"/>
    </xf>
    <xf numFmtId="0" fontId="13" fillId="8" borderId="0" xfId="2"/>
    <xf numFmtId="0" fontId="0" fillId="0" borderId="24" xfId="0" applyBorder="1"/>
    <xf numFmtId="0" fontId="0" fillId="0" borderId="24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24" xfId="0" applyNumberFormat="1" applyBorder="1" applyAlignment="1">
      <alignment horizontal="center"/>
    </xf>
    <xf numFmtId="9" fontId="13" fillId="8" borderId="0" xfId="1" applyFont="1" applyFill="1"/>
    <xf numFmtId="0" fontId="3" fillId="10" borderId="0" xfId="0" applyFont="1" applyFill="1"/>
    <xf numFmtId="0" fontId="3" fillId="10" borderId="0" xfId="0" applyFont="1" applyFill="1" applyAlignment="1">
      <alignment horizontal="center"/>
    </xf>
    <xf numFmtId="0" fontId="15" fillId="8" borderId="0" xfId="2" applyFont="1"/>
    <xf numFmtId="0" fontId="15" fillId="8" borderId="0" xfId="2" applyFont="1" applyAlignment="1">
      <alignment horizontal="center"/>
    </xf>
    <xf numFmtId="0" fontId="16" fillId="2" borderId="0" xfId="0" applyFont="1" applyFill="1"/>
    <xf numFmtId="165" fontId="16" fillId="2" borderId="0" xfId="0" applyNumberFormat="1" applyFont="1" applyFill="1" applyAlignment="1">
      <alignment horizontal="center"/>
    </xf>
    <xf numFmtId="0" fontId="9" fillId="0" borderId="0" xfId="0" applyFont="1"/>
    <xf numFmtId="0" fontId="16" fillId="9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9" fontId="9" fillId="7" borderId="0" xfId="0" applyNumberFormat="1" applyFont="1" applyFill="1"/>
    <xf numFmtId="165" fontId="9" fillId="2" borderId="0" xfId="3" applyNumberFormat="1" applyFont="1" applyFill="1"/>
    <xf numFmtId="0" fontId="9" fillId="9" borderId="0" xfId="0" applyFont="1" applyFill="1"/>
    <xf numFmtId="165" fontId="9" fillId="9" borderId="0" xfId="0" applyNumberFormat="1" applyFont="1" applyFill="1"/>
    <xf numFmtId="0" fontId="10" fillId="7" borderId="21" xfId="0" applyFont="1" applyFill="1" applyBorder="1" applyAlignment="1">
      <alignment horizontal="center" wrapText="1"/>
    </xf>
    <xf numFmtId="0" fontId="10" fillId="7" borderId="22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7" fillId="6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11" borderId="18" xfId="0" applyFont="1" applyFill="1" applyBorder="1" applyAlignment="1">
      <alignment horizontal="center" vertical="center"/>
    </xf>
    <xf numFmtId="0" fontId="6" fillId="11" borderId="19" xfId="0" applyFont="1" applyFill="1" applyBorder="1" applyAlignment="1">
      <alignment horizontal="center" vertical="center"/>
    </xf>
    <xf numFmtId="0" fontId="6" fillId="11" borderId="20" xfId="0" applyFont="1" applyFill="1" applyBorder="1" applyAlignment="1">
      <alignment vertical="center"/>
    </xf>
    <xf numFmtId="0" fontId="6" fillId="11" borderId="6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</cellXfs>
  <cellStyles count="4">
    <cellStyle name="Moeda" xfId="3" builtinId="4"/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'Investimentos Matiz'!$C$38</c:f>
              <c:strCache>
                <c:ptCount val="1"/>
                <c:pt idx="0">
                  <c:v>Pencentual Sugerido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CD-4A05-A409-428409C572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CD-4A05-A409-428409C572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CD-4A05-A409-428409C572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4CD-4A05-A409-428409C572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4CD-4A05-A409-428409C572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4CD-4A05-A409-428409C572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'Investimentos Matiz'!$B$39:$B$44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'Investimentos Matiz'!$C$39:$C$44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6-4B18-A18B-ACF66EA02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45</xdr:row>
      <xdr:rowOff>106680</xdr:rowOff>
    </xdr:from>
    <xdr:to>
      <xdr:col>6</xdr:col>
      <xdr:colOff>129540</xdr:colOff>
      <xdr:row>65</xdr:row>
      <xdr:rowOff>121920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243132-02D5-F79A-2DDE-6ACC66FF2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502920</xdr:colOff>
      <xdr:row>0</xdr:row>
      <xdr:rowOff>68580</xdr:rowOff>
    </xdr:from>
    <xdr:to>
      <xdr:col>5</xdr:col>
      <xdr:colOff>60960</xdr:colOff>
      <xdr:row>12</xdr:row>
      <xdr:rowOff>7620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B6CD1A3-B033-59B1-F9DA-E124D10B64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25" t="27206" r="3608" b="31618"/>
        <a:stretch>
          <a:fillRect/>
        </a:stretch>
      </xdr:blipFill>
      <xdr:spPr>
        <a:xfrm>
          <a:off x="502920" y="68580"/>
          <a:ext cx="6065520" cy="213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7326-C86F-4DC2-BFAA-BF5E25F3CF6C}">
  <dimension ref="A13:I45"/>
  <sheetViews>
    <sheetView showGridLines="0" tabSelected="1" zoomScaleNormal="100" workbookViewId="0">
      <selection activeCell="G41" sqref="G41"/>
    </sheetView>
  </sheetViews>
  <sheetFormatPr defaultColWidth="0" defaultRowHeight="14.4" x14ac:dyDescent="0.3"/>
  <cols>
    <col min="1" max="1" width="9.6640625" customWidth="1"/>
    <col min="2" max="2" width="39.6640625" customWidth="1"/>
    <col min="3" max="3" width="21.44140625" bestFit="1" customWidth="1"/>
    <col min="4" max="4" width="21.5546875" customWidth="1"/>
    <col min="5" max="9" width="2.5546875" customWidth="1"/>
    <col min="10" max="11" width="8.88671875" hidden="1" customWidth="1"/>
    <col min="12" max="16384" width="8.88671875" hidden="1"/>
  </cols>
  <sheetData>
    <row r="13" spans="2:4" ht="15" thickBot="1" x14ac:dyDescent="0.35"/>
    <row r="14" spans="2:4" ht="25.2" thickBot="1" x14ac:dyDescent="0.35">
      <c r="B14" s="54" t="s">
        <v>13</v>
      </c>
      <c r="C14" s="55"/>
      <c r="D14" s="9"/>
    </row>
    <row r="15" spans="2:4" ht="19.8" thickBot="1" x14ac:dyDescent="0.5">
      <c r="B15" s="56" t="s">
        <v>15</v>
      </c>
      <c r="C15" s="57"/>
      <c r="D15" s="10">
        <v>2000</v>
      </c>
    </row>
    <row r="16" spans="2:4" ht="19.8" thickBot="1" x14ac:dyDescent="0.5">
      <c r="B16" s="50" t="s">
        <v>14</v>
      </c>
      <c r="C16" s="51"/>
      <c r="D16" s="11">
        <v>6.0000000000000001E-3</v>
      </c>
    </row>
    <row r="17" spans="1:7" ht="19.8" thickBot="1" x14ac:dyDescent="0.5">
      <c r="B17" s="52" t="s">
        <v>16</v>
      </c>
      <c r="C17" s="53"/>
      <c r="D17" s="26">
        <f>D15*30%</f>
        <v>600</v>
      </c>
    </row>
    <row r="18" spans="1:7" ht="15" thickBot="1" x14ac:dyDescent="0.35"/>
    <row r="19" spans="1:7" ht="40.799999999999997" customHeight="1" thickBot="1" x14ac:dyDescent="0.35">
      <c r="B19" s="60" t="s">
        <v>4</v>
      </c>
      <c r="C19" s="61"/>
      <c r="D19" s="62"/>
      <c r="G19" s="8"/>
    </row>
    <row r="20" spans="1:7" ht="20.399999999999999" thickBot="1" x14ac:dyDescent="0.5">
      <c r="B20" s="46" t="s">
        <v>0</v>
      </c>
      <c r="C20" s="47"/>
      <c r="D20" s="12">
        <v>200</v>
      </c>
    </row>
    <row r="21" spans="1:7" ht="20.399999999999999" thickBot="1" x14ac:dyDescent="0.5">
      <c r="B21" s="48" t="s">
        <v>5</v>
      </c>
      <c r="C21" s="49"/>
      <c r="D21" s="13">
        <v>5</v>
      </c>
    </row>
    <row r="22" spans="1:7" ht="20.399999999999999" thickBot="1" x14ac:dyDescent="0.5">
      <c r="B22" s="48" t="s">
        <v>1</v>
      </c>
      <c r="C22" s="49"/>
      <c r="D22" s="14">
        <v>1.0800000000000001E-2</v>
      </c>
    </row>
    <row r="23" spans="1:7" ht="20.399999999999999" thickBot="1" x14ac:dyDescent="0.5">
      <c r="B23" s="50" t="s">
        <v>2</v>
      </c>
      <c r="C23" s="51"/>
      <c r="D23" s="15">
        <f>FV(Taxa_Mensal,Quantidade_Anos*12,Aport*-1)</f>
        <v>16760.803871851687</v>
      </c>
    </row>
    <row r="24" spans="1:7" ht="20.399999999999999" thickBot="1" x14ac:dyDescent="0.5">
      <c r="B24" s="52" t="s">
        <v>3</v>
      </c>
      <c r="C24" s="53"/>
      <c r="D24" s="16">
        <f>Patrimônio*Rendimento_Carteira</f>
        <v>100.56482323111013</v>
      </c>
    </row>
    <row r="25" spans="1:7" ht="15" thickBot="1" x14ac:dyDescent="0.35"/>
    <row r="26" spans="1:7" ht="34.200000000000003" customHeight="1" thickBot="1" x14ac:dyDescent="0.35">
      <c r="B26" s="63" t="s">
        <v>6</v>
      </c>
      <c r="C26" s="64"/>
      <c r="D26" s="65" t="s">
        <v>7</v>
      </c>
      <c r="E26" s="2"/>
    </row>
    <row r="27" spans="1:7" ht="19.8" thickBot="1" x14ac:dyDescent="0.5">
      <c r="A27" s="1">
        <v>2</v>
      </c>
      <c r="B27" s="17" t="s">
        <v>17</v>
      </c>
      <c r="C27" s="18">
        <f>FV(Taxa_Mensal,$A27*12,Aport*-1)</f>
        <v>5446.172732116318</v>
      </c>
      <c r="D27" s="19">
        <f>C27*Rendimento_Carteira</f>
        <v>32.677036392697907</v>
      </c>
    </row>
    <row r="28" spans="1:7" ht="19.8" thickBot="1" x14ac:dyDescent="0.5">
      <c r="A28" s="1">
        <v>5</v>
      </c>
      <c r="B28" s="20" t="s">
        <v>18</v>
      </c>
      <c r="C28" s="21">
        <f>FV(Taxa_Mensal,$A28*12,Aport*-1)</f>
        <v>16760.803871851687</v>
      </c>
      <c r="D28" s="22">
        <f>C28*Rendimento_Carteira</f>
        <v>100.56482323111013</v>
      </c>
    </row>
    <row r="29" spans="1:7" ht="19.8" thickBot="1" x14ac:dyDescent="0.5">
      <c r="A29" s="1">
        <v>10</v>
      </c>
      <c r="B29" s="20" t="s">
        <v>19</v>
      </c>
      <c r="C29" s="21">
        <f>FV(Taxa_Mensal,$A29*12,Aport*-1)</f>
        <v>48691.533250960019</v>
      </c>
      <c r="D29" s="22">
        <f>C29*Rendimento_Carteira</f>
        <v>292.14919950576012</v>
      </c>
    </row>
    <row r="30" spans="1:7" ht="19.8" thickBot="1" x14ac:dyDescent="0.5">
      <c r="A30" s="1">
        <v>20</v>
      </c>
      <c r="B30" s="20" t="s">
        <v>20</v>
      </c>
      <c r="C30" s="21">
        <f>FV(Taxa_Mensal,$A30*12,Aport*-1)</f>
        <v>225409.79865970465</v>
      </c>
      <c r="D30" s="22">
        <f>C30*Rendimento_Carteira</f>
        <v>1352.4587919582279</v>
      </c>
    </row>
    <row r="31" spans="1:7" ht="19.8" thickBot="1" x14ac:dyDescent="0.5">
      <c r="A31" s="1">
        <v>30</v>
      </c>
      <c r="B31" s="23" t="s">
        <v>21</v>
      </c>
      <c r="C31" s="24">
        <f>FV(Taxa_Mensal,$A31*12,Aport*-1)</f>
        <v>866780.96206335025</v>
      </c>
      <c r="D31" s="25">
        <f>C31*Rendimento_Carteira</f>
        <v>5200.6857723801013</v>
      </c>
      <c r="G31" s="3"/>
    </row>
    <row r="35" spans="2:4" ht="16.8" x14ac:dyDescent="0.4">
      <c r="B35" s="35" t="s">
        <v>23</v>
      </c>
      <c r="C35" s="36" t="s">
        <v>35</v>
      </c>
      <c r="D35" s="35"/>
    </row>
    <row r="36" spans="2:4" ht="16.8" x14ac:dyDescent="0.4">
      <c r="B36" s="37" t="s">
        <v>22</v>
      </c>
      <c r="C36" s="38">
        <f>Aport</f>
        <v>200</v>
      </c>
      <c r="D36" s="37"/>
    </row>
    <row r="37" spans="2:4" ht="16.8" x14ac:dyDescent="0.4">
      <c r="B37" s="39"/>
      <c r="C37" s="39"/>
      <c r="D37" s="39"/>
    </row>
    <row r="38" spans="2:4" ht="16.8" x14ac:dyDescent="0.4">
      <c r="B38" s="40" t="s">
        <v>24</v>
      </c>
      <c r="C38" s="40" t="s">
        <v>25</v>
      </c>
      <c r="D38" s="40" t="s">
        <v>26</v>
      </c>
    </row>
    <row r="39" spans="2:4" ht="16.8" x14ac:dyDescent="0.4">
      <c r="B39" s="41" t="s">
        <v>27</v>
      </c>
      <c r="C39" s="42">
        <f>VLOOKUP($C$35&amp;"-"&amp;$B39,'Tabela de Apoio'!A3:$D$20,4,FALSE)</f>
        <v>0.5</v>
      </c>
      <c r="D39" s="43">
        <f>$C39*$C$36</f>
        <v>100</v>
      </c>
    </row>
    <row r="40" spans="2:4" ht="16.8" x14ac:dyDescent="0.4">
      <c r="B40" s="41" t="s">
        <v>28</v>
      </c>
      <c r="C40" s="42">
        <f>VLOOKUP($C$35&amp;"-"&amp;$B40,'Tabela de Apoio'!A4:$D$20,4,FALSE)</f>
        <v>0.1</v>
      </c>
      <c r="D40" s="43">
        <f t="shared" ref="D40:D44" si="0">$C40*$C$36</f>
        <v>20</v>
      </c>
    </row>
    <row r="41" spans="2:4" ht="16.8" x14ac:dyDescent="0.4">
      <c r="B41" s="41" t="s">
        <v>29</v>
      </c>
      <c r="C41" s="42">
        <f>VLOOKUP($C$35&amp;"-"&amp;$B41,'Tabela de Apoio'!A5:$D$20,4,FALSE)</f>
        <v>0.05</v>
      </c>
      <c r="D41" s="43">
        <f t="shared" si="0"/>
        <v>10</v>
      </c>
    </row>
    <row r="42" spans="2:4" ht="16.8" x14ac:dyDescent="0.4">
      <c r="B42" s="41" t="s">
        <v>32</v>
      </c>
      <c r="C42" s="42">
        <f>VLOOKUP($C$35&amp;"-"&amp;$B42,'Tabela de Apoio'!A6:$D$20,4,FALSE)</f>
        <v>0.05</v>
      </c>
      <c r="D42" s="43">
        <f t="shared" si="0"/>
        <v>10</v>
      </c>
    </row>
    <row r="43" spans="2:4" ht="16.8" x14ac:dyDescent="0.4">
      <c r="B43" s="41" t="s">
        <v>30</v>
      </c>
      <c r="C43" s="42">
        <f>VLOOKUP($C$35&amp;"-"&amp;$B43,'Tabela de Apoio'!A7:$D$20,4,FALSE)</f>
        <v>0.2</v>
      </c>
      <c r="D43" s="43">
        <f t="shared" si="0"/>
        <v>40</v>
      </c>
    </row>
    <row r="44" spans="2:4" ht="16.8" x14ac:dyDescent="0.4">
      <c r="B44" s="41" t="s">
        <v>31</v>
      </c>
      <c r="C44" s="42">
        <f>VLOOKUP($C$35&amp;"-"&amp;$B44,'Tabela de Apoio'!A8:$D$20,4,FALSE)</f>
        <v>0.1</v>
      </c>
      <c r="D44" s="43">
        <f t="shared" si="0"/>
        <v>20</v>
      </c>
    </row>
    <row r="45" spans="2:4" ht="16.8" x14ac:dyDescent="0.4">
      <c r="B45" s="40" t="s">
        <v>40</v>
      </c>
      <c r="C45" s="44"/>
      <c r="D45" s="45">
        <f>SUM(D39:D44)</f>
        <v>200</v>
      </c>
    </row>
  </sheetData>
  <mergeCells count="11">
    <mergeCell ref="B14:C14"/>
    <mergeCell ref="B15:C15"/>
    <mergeCell ref="B16:C16"/>
    <mergeCell ref="B17:C17"/>
    <mergeCell ref="B19:C19"/>
    <mergeCell ref="B26:C26"/>
    <mergeCell ref="B20:C20"/>
    <mergeCell ref="B21:C21"/>
    <mergeCell ref="B22:C22"/>
    <mergeCell ref="B23:C23"/>
    <mergeCell ref="B24:C24"/>
  </mergeCells>
  <dataValidations disablePrompts="1" count="1">
    <dataValidation type="list" allowBlank="1" showInputMessage="1" showErrorMessage="1" sqref="C35" xr:uid="{7CF5FD7E-D3ED-4863-BC6F-3A3CFEFF225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36D3-AE5A-4D6B-B28C-09344E6D75D7}">
  <dimension ref="A2:H20"/>
  <sheetViews>
    <sheetView workbookViewId="0">
      <selection activeCell="F2" sqref="F2"/>
    </sheetView>
  </sheetViews>
  <sheetFormatPr defaultRowHeight="14.4" x14ac:dyDescent="0.3"/>
  <cols>
    <col min="1" max="1" width="28" bestFit="1" customWidth="1"/>
    <col min="2" max="2" width="14" bestFit="1" customWidth="1"/>
    <col min="3" max="3" width="17.6640625" bestFit="1" customWidth="1"/>
    <col min="7" max="7" width="15.44140625" bestFit="1" customWidth="1"/>
  </cols>
  <sheetData>
    <row r="2" spans="1:8" x14ac:dyDescent="0.3">
      <c r="A2" s="33" t="s">
        <v>34</v>
      </c>
      <c r="B2" s="33" t="s">
        <v>23</v>
      </c>
      <c r="C2" s="34" t="s">
        <v>33</v>
      </c>
      <c r="D2" s="34" t="s">
        <v>38</v>
      </c>
    </row>
    <row r="3" spans="1:8" x14ac:dyDescent="0.3">
      <c r="A3" t="str">
        <f>$B3&amp;"-"&amp;C3</f>
        <v>Conservador-PAPEL</v>
      </c>
      <c r="B3" t="s">
        <v>37</v>
      </c>
      <c r="C3" s="3" t="s">
        <v>27</v>
      </c>
      <c r="D3" s="30">
        <v>0.3</v>
      </c>
      <c r="H3" t="s">
        <v>38</v>
      </c>
    </row>
    <row r="4" spans="1:8" x14ac:dyDescent="0.3">
      <c r="A4" t="str">
        <f t="shared" ref="A4:A20" si="0">$B4&amp;"-"&amp;C4</f>
        <v>Conservador-TIJOLO</v>
      </c>
      <c r="B4" t="s">
        <v>37</v>
      </c>
      <c r="C4" s="3" t="s">
        <v>28</v>
      </c>
      <c r="D4" s="30">
        <v>0.5</v>
      </c>
      <c r="G4" s="27" t="s">
        <v>39</v>
      </c>
      <c r="H4" s="32">
        <f>VLOOKUP(G4,A3:D20,4,FALSE)</f>
        <v>0.35</v>
      </c>
    </row>
    <row r="5" spans="1:8" x14ac:dyDescent="0.3">
      <c r="A5" t="str">
        <f t="shared" si="0"/>
        <v>Conservador-HÍBRIDOS</v>
      </c>
      <c r="B5" t="s">
        <v>37</v>
      </c>
      <c r="C5" s="3" t="s">
        <v>29</v>
      </c>
      <c r="D5" s="30">
        <v>0.1</v>
      </c>
    </row>
    <row r="6" spans="1:8" x14ac:dyDescent="0.3">
      <c r="A6" t="str">
        <f t="shared" si="0"/>
        <v>Conservador-FOFs</v>
      </c>
      <c r="B6" t="s">
        <v>37</v>
      </c>
      <c r="C6" s="3" t="s">
        <v>32</v>
      </c>
      <c r="D6" s="30">
        <v>0.1</v>
      </c>
    </row>
    <row r="7" spans="1:8" x14ac:dyDescent="0.3">
      <c r="A7" t="str">
        <f t="shared" si="0"/>
        <v>Conservador-DESENVOLVIMENTO</v>
      </c>
      <c r="B7" t="s">
        <v>37</v>
      </c>
      <c r="C7" s="3" t="s">
        <v>30</v>
      </c>
      <c r="D7" s="30">
        <v>0</v>
      </c>
    </row>
    <row r="8" spans="1:8" ht="15" thickBot="1" x14ac:dyDescent="0.35">
      <c r="A8" s="28" t="str">
        <f t="shared" si="0"/>
        <v>Conservador-HOTELARIAS</v>
      </c>
      <c r="B8" s="28" t="s">
        <v>37</v>
      </c>
      <c r="C8" s="29" t="s">
        <v>31</v>
      </c>
      <c r="D8" s="31">
        <v>0</v>
      </c>
    </row>
    <row r="9" spans="1:8" x14ac:dyDescent="0.3">
      <c r="A9" t="str">
        <f t="shared" si="0"/>
        <v>Moderado-PAPEL</v>
      </c>
      <c r="B9" t="s">
        <v>36</v>
      </c>
      <c r="C9" s="3" t="s">
        <v>27</v>
      </c>
      <c r="D9" s="30">
        <v>0.32</v>
      </c>
    </row>
    <row r="10" spans="1:8" x14ac:dyDescent="0.3">
      <c r="A10" t="str">
        <f t="shared" si="0"/>
        <v>Moderado-TIJOLO</v>
      </c>
      <c r="B10" t="s">
        <v>36</v>
      </c>
      <c r="C10" s="3" t="s">
        <v>28</v>
      </c>
      <c r="D10" s="30">
        <v>0.35</v>
      </c>
    </row>
    <row r="11" spans="1:8" x14ac:dyDescent="0.3">
      <c r="A11" t="str">
        <f t="shared" si="0"/>
        <v>Moderado-HÍBRIDOS</v>
      </c>
      <c r="B11" t="s">
        <v>36</v>
      </c>
      <c r="C11" s="3" t="s">
        <v>29</v>
      </c>
      <c r="D11" s="30">
        <v>0.08</v>
      </c>
    </row>
    <row r="12" spans="1:8" x14ac:dyDescent="0.3">
      <c r="A12" t="str">
        <f t="shared" si="0"/>
        <v>Moderado-FOFs</v>
      </c>
      <c r="B12" t="s">
        <v>36</v>
      </c>
      <c r="C12" s="3" t="s">
        <v>32</v>
      </c>
      <c r="D12" s="30">
        <v>0.05</v>
      </c>
    </row>
    <row r="13" spans="1:8" x14ac:dyDescent="0.3">
      <c r="A13" t="str">
        <f t="shared" si="0"/>
        <v>Moderado-DESENVOLVIMENTO</v>
      </c>
      <c r="B13" t="s">
        <v>36</v>
      </c>
      <c r="C13" s="3" t="s">
        <v>30</v>
      </c>
      <c r="D13" s="30">
        <v>0.1</v>
      </c>
    </row>
    <row r="14" spans="1:8" ht="15" thickBot="1" x14ac:dyDescent="0.35">
      <c r="A14" s="28" t="str">
        <f t="shared" si="0"/>
        <v>Moderado-HOTELARIAS</v>
      </c>
      <c r="B14" s="28" t="s">
        <v>36</v>
      </c>
      <c r="C14" s="29" t="s">
        <v>31</v>
      </c>
      <c r="D14" s="31">
        <v>0.1</v>
      </c>
    </row>
    <row r="15" spans="1:8" x14ac:dyDescent="0.3">
      <c r="A15" t="str">
        <f t="shared" si="0"/>
        <v>Agressivo-PAPEL</v>
      </c>
      <c r="B15" t="s">
        <v>35</v>
      </c>
      <c r="C15" s="3" t="s">
        <v>27</v>
      </c>
      <c r="D15" s="30">
        <v>0.5</v>
      </c>
    </row>
    <row r="16" spans="1:8" x14ac:dyDescent="0.3">
      <c r="A16" t="str">
        <f t="shared" si="0"/>
        <v>Agressivo-TIJOLO</v>
      </c>
      <c r="B16" t="s">
        <v>35</v>
      </c>
      <c r="C16" s="3" t="s">
        <v>28</v>
      </c>
      <c r="D16" s="30">
        <v>0.1</v>
      </c>
    </row>
    <row r="17" spans="1:4" x14ac:dyDescent="0.3">
      <c r="A17" t="str">
        <f t="shared" si="0"/>
        <v>Agressivo-HÍBRIDOS</v>
      </c>
      <c r="B17" t="s">
        <v>35</v>
      </c>
      <c r="C17" s="3" t="s">
        <v>29</v>
      </c>
      <c r="D17" s="30">
        <v>0.05</v>
      </c>
    </row>
    <row r="18" spans="1:4" x14ac:dyDescent="0.3">
      <c r="A18" t="str">
        <f t="shared" si="0"/>
        <v>Agressivo-FOFs</v>
      </c>
      <c r="B18" t="s">
        <v>35</v>
      </c>
      <c r="C18" s="3" t="s">
        <v>32</v>
      </c>
      <c r="D18" s="30">
        <v>0.05</v>
      </c>
    </row>
    <row r="19" spans="1:4" x14ac:dyDescent="0.3">
      <c r="A19" t="str">
        <f t="shared" si="0"/>
        <v>Agressivo-DESENVOLVIMENTO</v>
      </c>
      <c r="B19" t="s">
        <v>35</v>
      </c>
      <c r="C19" s="3" t="s">
        <v>30</v>
      </c>
      <c r="D19" s="30">
        <v>0.2</v>
      </c>
    </row>
    <row r="20" spans="1:4" x14ac:dyDescent="0.3">
      <c r="A20" t="str">
        <f t="shared" si="0"/>
        <v>Agressivo-HOTELARIAS</v>
      </c>
      <c r="B20" t="s">
        <v>35</v>
      </c>
      <c r="C20" s="3" t="s">
        <v>31</v>
      </c>
      <c r="D20" s="30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E978-2245-4178-A375-45ED1D9D7063}">
  <dimension ref="B2:C11"/>
  <sheetViews>
    <sheetView workbookViewId="0">
      <selection activeCell="B3" sqref="B3"/>
    </sheetView>
  </sheetViews>
  <sheetFormatPr defaultRowHeight="14.4" x14ac:dyDescent="0.3"/>
  <cols>
    <col min="2" max="3" width="22.44140625" customWidth="1"/>
  </cols>
  <sheetData>
    <row r="2" spans="2:3" x14ac:dyDescent="0.3">
      <c r="B2" t="s">
        <v>41</v>
      </c>
    </row>
    <row r="8" spans="2:3" ht="15" thickBot="1" x14ac:dyDescent="0.35"/>
    <row r="9" spans="2:3" ht="25.8" customHeight="1" thickBot="1" x14ac:dyDescent="0.35">
      <c r="B9" s="58" t="s">
        <v>8</v>
      </c>
      <c r="C9" s="59"/>
    </row>
    <row r="10" spans="2:3" ht="15" thickBot="1" x14ac:dyDescent="0.35">
      <c r="B10" s="5" t="s">
        <v>9</v>
      </c>
      <c r="C10" s="4" t="s">
        <v>10</v>
      </c>
    </row>
    <row r="11" spans="2:3" ht="115.8" thickBot="1" x14ac:dyDescent="0.35">
      <c r="B11" s="6" t="s">
        <v>11</v>
      </c>
      <c r="C11" s="7" t="s">
        <v>12</v>
      </c>
    </row>
  </sheetData>
  <mergeCells count="1">
    <mergeCell ref="B9:C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7</vt:i4>
      </vt:variant>
    </vt:vector>
  </HeadingPairs>
  <TitlesOfParts>
    <vt:vector size="10" baseType="lpstr">
      <vt:lpstr>Investimentos Matiz</vt:lpstr>
      <vt:lpstr>Tabela de Apoio</vt:lpstr>
      <vt:lpstr>Q&amp;A</vt:lpstr>
      <vt:lpstr>Aport</vt:lpstr>
      <vt:lpstr>Patrimônio</vt:lpstr>
      <vt:lpstr>Quantidade_Anos</vt:lpstr>
      <vt:lpstr>Rendimento_Carteira</vt:lpstr>
      <vt:lpstr>Salário</vt:lpstr>
      <vt:lpstr>Sugestão_de_Investimento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 Leonelli</dc:creator>
  <cp:lastModifiedBy>Vito Leonelli</cp:lastModifiedBy>
  <dcterms:created xsi:type="dcterms:W3CDTF">2026-01-09T20:40:56Z</dcterms:created>
  <dcterms:modified xsi:type="dcterms:W3CDTF">2026-01-12T22:48:36Z</dcterms:modified>
</cp:coreProperties>
</file>